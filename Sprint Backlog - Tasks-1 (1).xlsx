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cgre\Downloads\"/>
    </mc:Choice>
  </mc:AlternateContent>
  <xr:revisionPtr revIDLastSave="0" documentId="13_ncr:1_{B7C35D46-0531-4A52-BA88-128373573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I43" i="1"/>
  <c r="H43" i="1"/>
  <c r="G43" i="1"/>
  <c r="F43" i="1"/>
  <c r="E43" i="1"/>
  <c r="D43" i="1"/>
  <c r="J38" i="1"/>
  <c r="I38" i="1"/>
  <c r="H38" i="1"/>
  <c r="G38" i="1"/>
  <c r="F38" i="1"/>
  <c r="E38" i="1"/>
  <c r="D38" i="1"/>
  <c r="J33" i="1"/>
  <c r="I33" i="1"/>
  <c r="H33" i="1"/>
  <c r="G33" i="1"/>
  <c r="F33" i="1"/>
  <c r="E33" i="1"/>
  <c r="D33" i="1"/>
  <c r="D28" i="1"/>
  <c r="J28" i="1"/>
  <c r="I28" i="1"/>
  <c r="H28" i="1"/>
  <c r="G28" i="1"/>
  <c r="F28" i="1"/>
  <c r="E28" i="1"/>
  <c r="H4" i="1"/>
  <c r="G4" i="1"/>
  <c r="F4" i="1"/>
  <c r="J22" i="1"/>
  <c r="I22" i="1"/>
  <c r="H22" i="1"/>
  <c r="G22" i="1"/>
  <c r="F22" i="1"/>
  <c r="E22" i="1"/>
  <c r="D22" i="1"/>
  <c r="J17" i="1"/>
  <c r="I17" i="1"/>
  <c r="H17" i="1"/>
  <c r="G17" i="1"/>
  <c r="F17" i="1"/>
  <c r="E17" i="1"/>
  <c r="D17" i="1"/>
  <c r="J12" i="1"/>
  <c r="I12" i="1"/>
  <c r="H12" i="1"/>
  <c r="G12" i="1"/>
  <c r="F12" i="1"/>
  <c r="E12" i="1"/>
  <c r="D12" i="1"/>
  <c r="J8" i="1"/>
  <c r="I8" i="1"/>
  <c r="H8" i="1"/>
  <c r="G8" i="1"/>
  <c r="F8" i="1"/>
  <c r="E8" i="1"/>
  <c r="D8" i="1"/>
  <c r="J4" i="1"/>
  <c r="I4" i="1"/>
  <c r="D4" i="1"/>
  <c r="E27" i="1" l="1"/>
  <c r="G27" i="1"/>
  <c r="H27" i="1"/>
  <c r="I27" i="1"/>
  <c r="J27" i="1"/>
  <c r="D27" i="1"/>
  <c r="F27" i="1"/>
</calcChain>
</file>

<file path=xl/sharedStrings.xml><?xml version="1.0" encoding="utf-8"?>
<sst xmlns="http://schemas.openxmlformats.org/spreadsheetml/2006/main" count="135" uniqueCount="63">
  <si>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</si>
  <si>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</si>
  <si>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</si>
  <si>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</si>
  <si>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</si>
  <si>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</si>
  <si>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</si>
  <si>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</si>
  <si>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</si>
  <si>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</si>
  <si>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</si>
  <si>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</si>
  <si>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</si>
  <si>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</si>
  <si>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TOTAL</t>
  </si>
  <si>
    <t>Done</t>
  </si>
  <si>
    <t>Ramiro Alvarex-Cruz</t>
  </si>
  <si>
    <t>Hector Villalpando</t>
  </si>
  <si>
    <t>Samuel Glover</t>
  </si>
  <si>
    <t>Ramiro Alvarez-Cruz</t>
  </si>
  <si>
    <t>User Story #1: Guest Checkout</t>
  </si>
  <si>
    <t>User Story #2: Menu Management</t>
  </si>
  <si>
    <t>User Story #3: Order Tracking</t>
  </si>
  <si>
    <t>Implement POST /api/orders/guest</t>
  </si>
  <si>
    <t>Implement GET/api/orders/{order_id}</t>
  </si>
  <si>
    <t>Unit test for making guest order</t>
  </si>
  <si>
    <r>
      <t xml:space="preserve">Implement GET </t>
    </r>
    <r>
      <rPr>
        <sz val="10"/>
        <color rgb="FF000000"/>
        <rFont val="Arial Unicode MS"/>
      </rPr>
      <t>/api/menu-items</t>
    </r>
  </si>
  <si>
    <r>
      <t xml:space="preserve">Implement POST </t>
    </r>
    <r>
      <rPr>
        <sz val="10"/>
        <color rgb="FF000000"/>
        <rFont val="Arial Unicode MS"/>
      </rPr>
      <t>/api/menu-items</t>
    </r>
  </si>
  <si>
    <r>
      <t xml:space="preserve">Implement DELETE </t>
    </r>
    <r>
      <rPr>
        <sz val="10"/>
        <color rgb="FF000000"/>
        <rFont val="Arial Unicode MS"/>
      </rPr>
      <t>/api/menu-items/{id}</t>
    </r>
  </si>
  <si>
    <r>
      <t xml:space="preserve">Implement GET </t>
    </r>
    <r>
      <rPr>
        <sz val="10"/>
        <color rgb="FF000000"/>
        <rFont val="Arial Unicode MS"/>
      </rPr>
      <t>/api/orders/{order_id}</t>
    </r>
  </si>
  <si>
    <t>Ensure status changes are reflected correctly in tracking responses</t>
  </si>
  <si>
    <t>Add unit test for tracking an order and seeing correct status</t>
  </si>
  <si>
    <r>
      <t xml:space="preserve">Implement GET </t>
    </r>
    <r>
      <rPr>
        <sz val="10"/>
        <color rgb="FF000000"/>
        <rFont val="Arial Unicode MS"/>
      </rPr>
      <t>/api/orders/track?code={tracking_code}</t>
    </r>
  </si>
  <si>
    <t>User Story #4: Payment Gateway</t>
  </si>
  <si>
    <r>
      <t xml:space="preserve">Implement POST </t>
    </r>
    <r>
      <rPr>
        <sz val="10"/>
        <color rgb="FF000000"/>
        <rFont val="Arial Unicode MS"/>
      </rPr>
      <t>/api/payments</t>
    </r>
  </si>
  <si>
    <r>
      <t xml:space="preserve">Implement GET </t>
    </r>
    <r>
      <rPr>
        <sz val="10"/>
        <color rgb="FF000000"/>
        <rFont val="Arial Unicode MS"/>
      </rPr>
      <t>/api/payments/{payment_id}</t>
    </r>
  </si>
  <si>
    <t>Prevent duplicate payment for the same order</t>
  </si>
  <si>
    <t>Add unit test for successful payment</t>
  </si>
  <si>
    <t>User Story #5: Order Dashboard</t>
  </si>
  <si>
    <r>
      <t xml:space="preserve">Implement GET </t>
    </r>
    <r>
      <rPr>
        <sz val="10"/>
        <color rgb="FF000000"/>
        <rFont val="Arial Unicode MS"/>
      </rPr>
      <t>/api/staff/orders</t>
    </r>
  </si>
  <si>
    <r>
      <t xml:space="preserve">Implement PUT </t>
    </r>
    <r>
      <rPr>
        <sz val="10"/>
        <color rgb="FF000000"/>
        <rFont val="Arial Unicode MS"/>
      </rPr>
      <t>/api/staff/orders/{order_id}/status</t>
    </r>
  </si>
  <si>
    <t>Ensure orders are sorted</t>
  </si>
  <si>
    <t>Add unit test to verify status updates via staff endpoint</t>
  </si>
  <si>
    <t>User Story #6: Feedback System</t>
  </si>
  <si>
    <r>
      <t xml:space="preserve">Implement POST </t>
    </r>
    <r>
      <rPr>
        <sz val="10"/>
        <color rgb="FF000000"/>
        <rFont val="Arial Unicode MS"/>
      </rPr>
      <t>/api/orders/{order_id}/feedback</t>
    </r>
  </si>
  <si>
    <r>
      <t xml:space="preserve">Implement GET </t>
    </r>
    <r>
      <rPr>
        <sz val="10"/>
        <color rgb="FF000000"/>
        <rFont val="Arial Unicode MS"/>
      </rPr>
      <t>/api/orders/{order_id}/feedback</t>
    </r>
  </si>
  <si>
    <r>
      <t xml:space="preserve">Implement GET </t>
    </r>
    <r>
      <rPr>
        <sz val="10"/>
        <color rgb="FF000000"/>
        <rFont val="Arial Unicode MS"/>
      </rPr>
      <t>/api/feedback</t>
    </r>
  </si>
  <si>
    <t>Add unit test for creating and retrieving feedback</t>
  </si>
  <si>
    <t>User Story #7: Promotion</t>
  </si>
  <si>
    <r>
      <t xml:space="preserve">Implement POST </t>
    </r>
    <r>
      <rPr>
        <sz val="10"/>
        <color rgb="FF000000"/>
        <rFont val="Arial Unicode MS"/>
      </rPr>
      <t>/api/promotions</t>
    </r>
  </si>
  <si>
    <r>
      <t xml:space="preserve">Implement GET </t>
    </r>
    <r>
      <rPr>
        <sz val="10"/>
        <color rgb="FF000000"/>
        <rFont val="Arial Unicode MS"/>
      </rPr>
      <t>/api/promotions</t>
    </r>
  </si>
  <si>
    <r>
      <t xml:space="preserve">Implement DELETE </t>
    </r>
    <r>
      <rPr>
        <sz val="10"/>
        <color rgb="FF000000"/>
        <rFont val="Arial Unicode MS"/>
      </rPr>
      <t>/api/promotions/{id}</t>
    </r>
  </si>
  <si>
    <r>
      <t xml:space="preserve">Implement POST </t>
    </r>
    <r>
      <rPr>
        <sz val="10"/>
        <color rgb="FF000000"/>
        <rFont val="Arial Unicode MS"/>
      </rPr>
      <t>/api/orders/{order_id}/apply-promo</t>
    </r>
  </si>
  <si>
    <t>User Story #8: Data Analytics</t>
  </si>
  <si>
    <r>
      <t xml:space="preserve">Implement GET </t>
    </r>
    <r>
      <rPr>
        <sz val="10"/>
        <color rgb="FF000000"/>
        <rFont val="Arial Unicode MS"/>
      </rPr>
      <t>/api/reports/sales/daily</t>
    </r>
  </si>
  <si>
    <r>
      <t xml:space="preserve">Implement GET </t>
    </r>
    <r>
      <rPr>
        <sz val="10"/>
        <color rgb="FF000000"/>
        <rFont val="Arial Unicode MS"/>
      </rPr>
      <t>/api/reports/sales/top-items</t>
    </r>
  </si>
  <si>
    <t>Ensure date range filters work</t>
  </si>
  <si>
    <t>Add unit test for daily sales report endpoint</t>
  </si>
  <si>
    <t>User Story #9: Documentation</t>
  </si>
  <si>
    <t>Create API overview documentation</t>
  </si>
  <si>
    <t>Document all public endpoints</t>
  </si>
  <si>
    <t>Review and update documentation after final implementation changes</t>
  </si>
  <si>
    <t>Create basic user/admin usage walkthrough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</si>
</sst>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&quot;⋎ntury Gothic\&quot;&quot;"/>
    </font>
    <font>
      <b/>
      <sz val="10"/>
      <color rgb="FF000000"/>
      <name val="&quot;⋎ntury Gothic\&quot;&quot;"/>
    </font>
    <font>
      <sz val="12"/>
      <color rgb="FF000000"/>
      <name val="Calibri"/>
      <family val="2"/>
    </font>
    <font>
      <sz val="10"/>
      <color rgb="FF000000"/>
      <name val="&quot;⋎ntury Gothic\&quot;&quot;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/>
    <xf numFmtId="0" fontId="6" fillId="5" borderId="5" xfId="0" applyFont="1" applyFill="1" applyBorder="1"/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3" fillId="6" borderId="4" xfId="0" applyFont="1" applyFill="1" applyBorder="1"/>
    <xf numFmtId="0" fontId="3" fillId="6" borderId="5" xfId="0" applyFont="1" applyFill="1" applyBorder="1"/>
    <xf numFmtId="0" fontId="3" fillId="6" borderId="5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7"/>
  <sheetViews>
    <sheetView tabSelected="1" topLeftCell="A29" workbookViewId="0">
      <selection activeCell="A46" sqref="A46"/>
    </sheetView>
  </sheetViews>
  <sheetFormatPr defaultColWidth="12.5546875" defaultRowHeight="15.75" customHeight="1"/>
  <cols>
    <col min="1" max="1" width="47.5546875" customWidth="1"/>
    <col min="3" max="3" width="20.88671875" customWidth="1"/>
    <col min="4" max="4" width="14.6640625" customWidth="1"/>
    <col min="12" max="12" width="13.88671875" customWidth="1"/>
  </cols>
  <sheetData>
    <row r="1" spans="1:12" ht="15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75" customHeight="1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ht="13.2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.75" customHeight="1">
      <c r="A4" s="3" t="s">
        <v>20</v>
      </c>
      <c r="B4" s="4">
        <v>8</v>
      </c>
      <c r="C4" s="5"/>
      <c r="D4" s="5">
        <f>SUM(D5:D7)</f>
        <v>18</v>
      </c>
      <c r="E4" s="5">
        <v>7.5</v>
      </c>
      <c r="F4" s="5">
        <f>SUM(F5:F7)</f>
        <v>4</v>
      </c>
      <c r="G4" s="5">
        <f>SUM(G5:G7)</f>
        <v>8</v>
      </c>
      <c r="H4" s="5">
        <f>SUM(H5:H7)</f>
        <v>1</v>
      </c>
      <c r="I4" s="5">
        <f>SUM(I5:I7)</f>
        <v>1</v>
      </c>
      <c r="J4" s="5">
        <f>SUM(J5:J7)</f>
        <v>0</v>
      </c>
      <c r="K4" s="6" t="s">
        <v>15</v>
      </c>
      <c r="L4" s="5"/>
    </row>
    <row r="5" spans="1:12" ht="13.2">
      <c r="A5" s="7" t="s">
        <v>23</v>
      </c>
      <c r="B5" s="8"/>
      <c r="C5" s="9" t="s">
        <v>19</v>
      </c>
      <c r="D5" s="10">
        <v>7</v>
      </c>
      <c r="E5" s="10">
        <v>5</v>
      </c>
      <c r="F5" s="10">
        <v>3</v>
      </c>
      <c r="G5" s="10">
        <v>0</v>
      </c>
      <c r="H5" s="10">
        <v>0</v>
      </c>
      <c r="I5" s="10">
        <v>0</v>
      </c>
      <c r="J5" s="10">
        <v>0</v>
      </c>
      <c r="K5" s="9" t="s">
        <v>15</v>
      </c>
      <c r="L5" s="10">
        <v>0</v>
      </c>
    </row>
    <row r="6" spans="1:12" ht="13.2">
      <c r="A6" s="7" t="s">
        <v>24</v>
      </c>
      <c r="B6" s="8"/>
      <c r="C6" s="9" t="s">
        <v>19</v>
      </c>
      <c r="D6" s="10">
        <v>8</v>
      </c>
      <c r="E6" s="10">
        <v>1</v>
      </c>
      <c r="F6" s="10">
        <v>1</v>
      </c>
      <c r="G6" s="10">
        <v>5</v>
      </c>
      <c r="H6" s="10">
        <v>0</v>
      </c>
      <c r="I6" s="10">
        <v>1</v>
      </c>
      <c r="J6" s="10">
        <v>0</v>
      </c>
      <c r="K6" s="9" t="s">
        <v>15</v>
      </c>
      <c r="L6" s="10">
        <v>0</v>
      </c>
    </row>
    <row r="7" spans="1:12" ht="13.2">
      <c r="A7" s="7" t="s">
        <v>25</v>
      </c>
      <c r="B7" s="8"/>
      <c r="C7" s="9" t="s">
        <v>19</v>
      </c>
      <c r="D7" s="10">
        <v>3</v>
      </c>
      <c r="E7" s="10">
        <v>1</v>
      </c>
      <c r="F7" s="10">
        <v>0</v>
      </c>
      <c r="G7" s="10">
        <v>3</v>
      </c>
      <c r="H7" s="10">
        <v>1</v>
      </c>
      <c r="I7" s="10">
        <v>0</v>
      </c>
      <c r="J7" s="10">
        <v>0</v>
      </c>
      <c r="K7" s="9" t="s">
        <v>15</v>
      </c>
      <c r="L7" s="10">
        <v>0</v>
      </c>
    </row>
    <row r="8" spans="1:12" ht="15.75" customHeight="1">
      <c r="A8" s="3" t="s">
        <v>21</v>
      </c>
      <c r="B8" s="4">
        <v>13</v>
      </c>
      <c r="C8" s="5"/>
      <c r="D8" s="5">
        <f t="shared" ref="D8:J8" si="0">SUM(D9:D11)</f>
        <v>11</v>
      </c>
      <c r="E8" s="5">
        <f t="shared" si="0"/>
        <v>14.5</v>
      </c>
      <c r="F8" s="5">
        <f t="shared" si="0"/>
        <v>6.5</v>
      </c>
      <c r="G8" s="5">
        <f t="shared" si="0"/>
        <v>1.5</v>
      </c>
      <c r="H8" s="5">
        <f t="shared" si="0"/>
        <v>2</v>
      </c>
      <c r="I8" s="5">
        <f t="shared" si="0"/>
        <v>1</v>
      </c>
      <c r="J8" s="5">
        <f t="shared" si="0"/>
        <v>0</v>
      </c>
      <c r="K8" s="6" t="s">
        <v>15</v>
      </c>
      <c r="L8" s="5"/>
    </row>
    <row r="9" spans="1:12" ht="13.2">
      <c r="A9" s="19" t="s">
        <v>26</v>
      </c>
      <c r="B9" s="8"/>
      <c r="C9" s="9" t="s">
        <v>16</v>
      </c>
      <c r="D9" s="10">
        <v>3</v>
      </c>
      <c r="E9" s="10">
        <v>0.5</v>
      </c>
      <c r="F9" s="10">
        <v>0.5</v>
      </c>
      <c r="G9" s="10">
        <v>0.5</v>
      </c>
      <c r="H9" s="10">
        <v>0</v>
      </c>
      <c r="I9" s="10">
        <v>0</v>
      </c>
      <c r="J9" s="10">
        <v>0</v>
      </c>
      <c r="K9" s="6" t="s">
        <v>15</v>
      </c>
      <c r="L9" s="10">
        <v>2</v>
      </c>
    </row>
    <row r="10" spans="1:12" ht="13.2">
      <c r="A10" s="19" t="s">
        <v>27</v>
      </c>
      <c r="B10" s="8"/>
      <c r="C10" s="9" t="s">
        <v>16</v>
      </c>
      <c r="D10" s="10">
        <v>3</v>
      </c>
      <c r="E10" s="10">
        <v>5</v>
      </c>
      <c r="F10" s="10">
        <v>1</v>
      </c>
      <c r="G10" s="10">
        <v>0</v>
      </c>
      <c r="H10" s="10">
        <v>1</v>
      </c>
      <c r="I10" s="10">
        <v>1</v>
      </c>
      <c r="J10" s="10">
        <v>0</v>
      </c>
      <c r="K10" s="6" t="s">
        <v>15</v>
      </c>
      <c r="L10" s="10">
        <v>0</v>
      </c>
    </row>
    <row r="11" spans="1:12" ht="13.2">
      <c r="A11" s="19" t="s">
        <v>28</v>
      </c>
      <c r="B11" s="8"/>
      <c r="C11" s="9" t="s">
        <v>16</v>
      </c>
      <c r="D11" s="10">
        <v>5</v>
      </c>
      <c r="E11" s="10">
        <v>9</v>
      </c>
      <c r="F11" s="10">
        <v>5</v>
      </c>
      <c r="G11" s="10">
        <v>1</v>
      </c>
      <c r="H11" s="10">
        <v>1</v>
      </c>
      <c r="I11" s="10">
        <v>0</v>
      </c>
      <c r="J11" s="10">
        <v>0</v>
      </c>
      <c r="K11" s="6" t="s">
        <v>15</v>
      </c>
      <c r="L11" s="10">
        <v>1</v>
      </c>
    </row>
    <row r="12" spans="1:12" ht="15.75" customHeight="1">
      <c r="A12" s="3" t="s">
        <v>22</v>
      </c>
      <c r="B12" s="4">
        <v>5</v>
      </c>
      <c r="C12" s="5"/>
      <c r="D12" s="5">
        <f t="shared" ref="D12:J12" si="1">SUM(D13:D16)</f>
        <v>17.5</v>
      </c>
      <c r="E12" s="5">
        <f t="shared" si="1"/>
        <v>4</v>
      </c>
      <c r="F12" s="5">
        <f t="shared" si="1"/>
        <v>0.5</v>
      </c>
      <c r="G12" s="5">
        <f t="shared" si="1"/>
        <v>3.5</v>
      </c>
      <c r="H12" s="5">
        <f t="shared" si="1"/>
        <v>4</v>
      </c>
      <c r="I12" s="5">
        <f t="shared" si="1"/>
        <v>1</v>
      </c>
      <c r="J12" s="5">
        <f t="shared" si="1"/>
        <v>0</v>
      </c>
      <c r="K12" s="6" t="s">
        <v>15</v>
      </c>
      <c r="L12" s="5"/>
    </row>
    <row r="13" spans="1:12" ht="13.2">
      <c r="A13" s="19" t="s">
        <v>29</v>
      </c>
      <c r="B13" s="8"/>
      <c r="C13" s="9" t="s">
        <v>16</v>
      </c>
      <c r="D13" s="10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6" t="s">
        <v>15</v>
      </c>
      <c r="L13" s="10">
        <v>0</v>
      </c>
    </row>
    <row r="14" spans="1:12" ht="13.2">
      <c r="A14" s="19" t="s">
        <v>30</v>
      </c>
      <c r="B14" s="8"/>
      <c r="C14" s="9" t="s">
        <v>16</v>
      </c>
      <c r="D14" s="10">
        <v>8</v>
      </c>
      <c r="E14" s="10">
        <v>3</v>
      </c>
      <c r="F14" s="10">
        <v>0</v>
      </c>
      <c r="G14" s="10">
        <v>3</v>
      </c>
      <c r="H14" s="10">
        <v>3</v>
      </c>
      <c r="I14" s="10">
        <v>0</v>
      </c>
      <c r="J14" s="10">
        <v>0</v>
      </c>
      <c r="K14" s="6" t="s">
        <v>15</v>
      </c>
      <c r="L14" s="10">
        <v>0</v>
      </c>
    </row>
    <row r="15" spans="1:12" ht="13.2">
      <c r="A15" s="19" t="s">
        <v>31</v>
      </c>
      <c r="B15" s="8"/>
      <c r="C15" s="9" t="s">
        <v>16</v>
      </c>
      <c r="D15" s="10">
        <v>1.5</v>
      </c>
      <c r="E15" s="10">
        <v>0.5</v>
      </c>
      <c r="F15" s="10">
        <v>0.5</v>
      </c>
      <c r="G15" s="10">
        <v>0.5</v>
      </c>
      <c r="H15" s="10">
        <v>1</v>
      </c>
      <c r="I15" s="10">
        <v>1</v>
      </c>
      <c r="J15" s="10">
        <v>0</v>
      </c>
      <c r="K15" s="6" t="s">
        <v>15</v>
      </c>
      <c r="L15" s="10">
        <v>0</v>
      </c>
    </row>
    <row r="16" spans="1:12" ht="13.2">
      <c r="A16" s="19" t="s">
        <v>32</v>
      </c>
      <c r="B16" s="8"/>
      <c r="C16" s="9" t="s">
        <v>16</v>
      </c>
      <c r="D16" s="10">
        <v>2</v>
      </c>
      <c r="E16" s="10">
        <v>0.5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6" t="s">
        <v>15</v>
      </c>
      <c r="L16" s="10">
        <v>3</v>
      </c>
    </row>
    <row r="17" spans="1:12" ht="15.75" customHeight="1">
      <c r="A17" s="3" t="s">
        <v>33</v>
      </c>
      <c r="B17" s="4">
        <v>8</v>
      </c>
      <c r="C17" s="5"/>
      <c r="D17" s="5">
        <f t="shared" ref="D17:J17" si="2">SUM(D18:D21)</f>
        <v>25.5</v>
      </c>
      <c r="E17" s="5">
        <f t="shared" si="2"/>
        <v>8</v>
      </c>
      <c r="F17" s="5">
        <f t="shared" si="2"/>
        <v>13.5</v>
      </c>
      <c r="G17" s="5">
        <f t="shared" si="2"/>
        <v>13.5</v>
      </c>
      <c r="H17" s="5">
        <f t="shared" si="2"/>
        <v>5</v>
      </c>
      <c r="I17" s="5">
        <f t="shared" si="2"/>
        <v>2</v>
      </c>
      <c r="J17" s="5">
        <f t="shared" si="2"/>
        <v>0</v>
      </c>
      <c r="K17" s="6" t="s">
        <v>15</v>
      </c>
      <c r="L17" s="5"/>
    </row>
    <row r="18" spans="1:12" ht="13.2">
      <c r="A18" s="19" t="s">
        <v>34</v>
      </c>
      <c r="B18" s="8"/>
      <c r="C18" s="9" t="s">
        <v>16</v>
      </c>
      <c r="D18" s="10">
        <v>9</v>
      </c>
      <c r="E18" s="10">
        <v>4</v>
      </c>
      <c r="F18" s="10">
        <v>2</v>
      </c>
      <c r="G18" s="10">
        <v>2</v>
      </c>
      <c r="H18" s="10">
        <v>1</v>
      </c>
      <c r="I18" s="10">
        <v>1</v>
      </c>
      <c r="J18" s="10">
        <v>0</v>
      </c>
      <c r="K18" s="6" t="s">
        <v>15</v>
      </c>
      <c r="L18" s="10">
        <v>0</v>
      </c>
    </row>
    <row r="19" spans="1:12" ht="13.2">
      <c r="A19" s="19" t="s">
        <v>35</v>
      </c>
      <c r="B19" s="8"/>
      <c r="C19" s="9" t="s">
        <v>16</v>
      </c>
      <c r="D19" s="10">
        <v>6</v>
      </c>
      <c r="E19" s="10">
        <v>3</v>
      </c>
      <c r="F19" s="10">
        <v>3</v>
      </c>
      <c r="G19" s="10">
        <v>3</v>
      </c>
      <c r="H19" s="10">
        <v>3</v>
      </c>
      <c r="I19" s="10">
        <v>1</v>
      </c>
      <c r="J19" s="10">
        <v>0</v>
      </c>
      <c r="K19" s="6" t="s">
        <v>15</v>
      </c>
      <c r="L19" s="10">
        <v>1</v>
      </c>
    </row>
    <row r="20" spans="1:12" ht="13.2">
      <c r="A20" s="19" t="s">
        <v>36</v>
      </c>
      <c r="B20" s="8"/>
      <c r="C20" s="9" t="s">
        <v>16</v>
      </c>
      <c r="D20" s="10">
        <v>6</v>
      </c>
      <c r="E20" s="10">
        <v>0.5</v>
      </c>
      <c r="F20" s="10">
        <v>8</v>
      </c>
      <c r="G20" s="10">
        <v>8</v>
      </c>
      <c r="H20" s="10">
        <v>1</v>
      </c>
      <c r="I20" s="10">
        <v>0</v>
      </c>
      <c r="J20" s="10">
        <v>0</v>
      </c>
      <c r="K20" s="6" t="s">
        <v>15</v>
      </c>
      <c r="L20" s="10">
        <v>1</v>
      </c>
    </row>
    <row r="21" spans="1:12" ht="13.2">
      <c r="A21" s="19" t="s">
        <v>37</v>
      </c>
      <c r="B21" s="8"/>
      <c r="C21" s="9" t="s">
        <v>16</v>
      </c>
      <c r="D21" s="10">
        <v>4.5</v>
      </c>
      <c r="E21" s="10">
        <v>0.5</v>
      </c>
      <c r="F21" s="10">
        <v>0.5</v>
      </c>
      <c r="G21" s="10">
        <v>0.5</v>
      </c>
      <c r="H21" s="10">
        <v>0</v>
      </c>
      <c r="I21" s="10">
        <v>0</v>
      </c>
      <c r="J21" s="10">
        <v>0</v>
      </c>
      <c r="K21" s="6" t="s">
        <v>15</v>
      </c>
      <c r="L21" s="10">
        <v>0</v>
      </c>
    </row>
    <row r="22" spans="1:12" ht="15.75" customHeight="1">
      <c r="A22" s="3" t="s">
        <v>38</v>
      </c>
      <c r="B22" s="4">
        <v>3</v>
      </c>
      <c r="C22" s="5"/>
      <c r="D22" s="5">
        <f t="shared" ref="D22:J22" si="3">SUM(D23:D26)</f>
        <v>17</v>
      </c>
      <c r="E22" s="5">
        <f t="shared" si="3"/>
        <v>16.5</v>
      </c>
      <c r="F22" s="5">
        <f t="shared" si="3"/>
        <v>16.5</v>
      </c>
      <c r="G22" s="5">
        <f t="shared" si="3"/>
        <v>6.5</v>
      </c>
      <c r="H22" s="5">
        <f t="shared" si="3"/>
        <v>7</v>
      </c>
      <c r="I22" s="5">
        <f t="shared" si="3"/>
        <v>13</v>
      </c>
      <c r="J22" s="5">
        <f t="shared" si="3"/>
        <v>0</v>
      </c>
      <c r="K22" s="6" t="s">
        <v>15</v>
      </c>
      <c r="L22" s="5"/>
    </row>
    <row r="23" spans="1:12" ht="13.2">
      <c r="A23" s="19" t="s">
        <v>39</v>
      </c>
      <c r="B23" s="8"/>
      <c r="C23" s="9" t="s">
        <v>18</v>
      </c>
      <c r="D23" s="10">
        <v>2</v>
      </c>
      <c r="E23" s="10">
        <v>1</v>
      </c>
      <c r="F23" s="10">
        <v>1</v>
      </c>
      <c r="G23" s="10">
        <v>1</v>
      </c>
      <c r="H23" s="10">
        <v>0.5</v>
      </c>
      <c r="I23" s="10">
        <v>1</v>
      </c>
      <c r="J23" s="10">
        <v>0</v>
      </c>
      <c r="K23" s="6" t="s">
        <v>15</v>
      </c>
      <c r="L23" s="10">
        <v>1</v>
      </c>
    </row>
    <row r="24" spans="1:12" ht="13.2">
      <c r="A24" s="19" t="s">
        <v>40</v>
      </c>
      <c r="B24" s="8"/>
      <c r="C24" s="9" t="s">
        <v>16</v>
      </c>
      <c r="D24" s="10">
        <v>6</v>
      </c>
      <c r="E24" s="10">
        <v>6</v>
      </c>
      <c r="F24" s="10">
        <v>6</v>
      </c>
      <c r="G24" s="10">
        <v>0.5</v>
      </c>
      <c r="H24" s="10">
        <v>3</v>
      </c>
      <c r="I24" s="10">
        <v>9</v>
      </c>
      <c r="J24" s="10">
        <v>0</v>
      </c>
      <c r="K24" s="6" t="s">
        <v>15</v>
      </c>
      <c r="L24" s="10">
        <v>0</v>
      </c>
    </row>
    <row r="25" spans="1:12" ht="13.2">
      <c r="A25" s="19" t="s">
        <v>41</v>
      </c>
      <c r="B25" s="8"/>
      <c r="C25" s="9" t="s">
        <v>17</v>
      </c>
      <c r="D25" s="10">
        <v>7</v>
      </c>
      <c r="E25" s="10">
        <v>9</v>
      </c>
      <c r="F25" s="10">
        <v>9</v>
      </c>
      <c r="G25" s="10">
        <v>4</v>
      </c>
      <c r="H25" s="10">
        <v>3</v>
      </c>
      <c r="I25" s="10">
        <v>3</v>
      </c>
      <c r="J25" s="10">
        <v>0</v>
      </c>
      <c r="K25" s="6" t="s">
        <v>15</v>
      </c>
      <c r="L25" s="10">
        <v>3</v>
      </c>
    </row>
    <row r="26" spans="1:12" ht="13.2">
      <c r="A26" s="19" t="s">
        <v>42</v>
      </c>
      <c r="B26" s="8"/>
      <c r="C26" s="9" t="s">
        <v>18</v>
      </c>
      <c r="D26" s="10">
        <v>2</v>
      </c>
      <c r="E26" s="10">
        <v>0.5</v>
      </c>
      <c r="F26" s="10">
        <v>0.5</v>
      </c>
      <c r="G26" s="10">
        <v>1</v>
      </c>
      <c r="H26" s="10">
        <v>0.5</v>
      </c>
      <c r="I26" s="10">
        <v>0</v>
      </c>
      <c r="J26" s="10">
        <v>0</v>
      </c>
      <c r="K26" s="6" t="s">
        <v>15</v>
      </c>
      <c r="L26" s="10">
        <v>1</v>
      </c>
    </row>
    <row r="27" spans="1:12" ht="13.2">
      <c r="A27" s="11" t="s">
        <v>14</v>
      </c>
      <c r="B27" s="12"/>
      <c r="C27" s="12"/>
      <c r="D27" s="13">
        <f t="shared" ref="D27:J27" si="4">D4+D8+D12+D17+D22</f>
        <v>89</v>
      </c>
      <c r="E27" s="13">
        <f t="shared" si="4"/>
        <v>50.5</v>
      </c>
      <c r="F27" s="13">
        <f t="shared" si="4"/>
        <v>41</v>
      </c>
      <c r="G27" s="13">
        <f t="shared" si="4"/>
        <v>33</v>
      </c>
      <c r="H27" s="13">
        <f t="shared" si="4"/>
        <v>19</v>
      </c>
      <c r="I27" s="13">
        <f t="shared" si="4"/>
        <v>18</v>
      </c>
      <c r="J27" s="13">
        <f t="shared" si="4"/>
        <v>0</v>
      </c>
      <c r="K27" s="12"/>
      <c r="L27" s="13">
        <v>14</v>
      </c>
    </row>
    <row r="28" spans="1:12" ht="15.75" customHeight="1">
      <c r="A28" s="3" t="s">
        <v>43</v>
      </c>
      <c r="B28" s="4">
        <v>3</v>
      </c>
      <c r="C28" s="5"/>
      <c r="D28" s="5">
        <f>SUM(D29:D32)</f>
        <v>22</v>
      </c>
      <c r="E28" s="5">
        <f t="shared" ref="D28:J28" si="5">SUM(E29:E32)</f>
        <v>14</v>
      </c>
      <c r="F28" s="5">
        <f t="shared" si="5"/>
        <v>10</v>
      </c>
      <c r="G28" s="5">
        <f t="shared" si="5"/>
        <v>8</v>
      </c>
      <c r="H28" s="5">
        <f t="shared" si="5"/>
        <v>5</v>
      </c>
      <c r="I28" s="5">
        <f t="shared" si="5"/>
        <v>2</v>
      </c>
      <c r="J28" s="5">
        <f t="shared" si="5"/>
        <v>0</v>
      </c>
      <c r="K28" s="6" t="s">
        <v>15</v>
      </c>
      <c r="L28" s="5"/>
    </row>
    <row r="29" spans="1:12" ht="15.75" customHeight="1">
      <c r="A29" s="19" t="s">
        <v>44</v>
      </c>
      <c r="B29" s="8"/>
      <c r="C29" s="9" t="s">
        <v>18</v>
      </c>
      <c r="D29" s="10">
        <v>10</v>
      </c>
      <c r="E29" s="10">
        <v>7</v>
      </c>
      <c r="F29" s="10">
        <v>5</v>
      </c>
      <c r="G29" s="10">
        <v>5</v>
      </c>
      <c r="H29" s="10">
        <v>3</v>
      </c>
      <c r="I29" s="10">
        <v>2</v>
      </c>
      <c r="J29" s="10">
        <v>0</v>
      </c>
      <c r="K29" s="6" t="s">
        <v>15</v>
      </c>
      <c r="L29" s="10">
        <v>1</v>
      </c>
    </row>
    <row r="30" spans="1:12" ht="15.75" customHeight="1">
      <c r="A30" s="19" t="s">
        <v>45</v>
      </c>
      <c r="B30" s="8"/>
      <c r="C30" s="9" t="s">
        <v>16</v>
      </c>
      <c r="D30" s="10">
        <v>4</v>
      </c>
      <c r="E30" s="10">
        <v>5</v>
      </c>
      <c r="F30" s="10">
        <v>3</v>
      </c>
      <c r="G30" s="10">
        <v>2</v>
      </c>
      <c r="H30" s="10">
        <v>0</v>
      </c>
      <c r="I30" s="10">
        <v>0</v>
      </c>
      <c r="J30" s="10">
        <v>0</v>
      </c>
      <c r="K30" s="6" t="s">
        <v>15</v>
      </c>
      <c r="L30" s="10">
        <v>0</v>
      </c>
    </row>
    <row r="31" spans="1:12" ht="15.75" customHeight="1">
      <c r="A31" s="19" t="s">
        <v>46</v>
      </c>
      <c r="B31" s="8"/>
      <c r="C31" s="9" t="s">
        <v>17</v>
      </c>
      <c r="D31" s="10">
        <v>3</v>
      </c>
      <c r="E31" s="10">
        <v>2</v>
      </c>
      <c r="F31" s="10">
        <v>2</v>
      </c>
      <c r="G31" s="10">
        <v>0</v>
      </c>
      <c r="H31" s="10">
        <v>0</v>
      </c>
      <c r="I31" s="10">
        <v>0</v>
      </c>
      <c r="J31" s="10">
        <v>0</v>
      </c>
      <c r="K31" s="6" t="s">
        <v>15</v>
      </c>
      <c r="L31" s="10">
        <v>3</v>
      </c>
    </row>
    <row r="32" spans="1:12" ht="15.75" customHeight="1">
      <c r="A32" s="19" t="s">
        <v>47</v>
      </c>
      <c r="B32" s="8"/>
      <c r="C32" s="9" t="s">
        <v>18</v>
      </c>
      <c r="D32" s="10">
        <v>5</v>
      </c>
      <c r="E32" s="10">
        <v>0</v>
      </c>
      <c r="F32" s="10">
        <v>0</v>
      </c>
      <c r="G32" s="10">
        <v>1</v>
      </c>
      <c r="H32" s="10">
        <v>2</v>
      </c>
      <c r="I32" s="10">
        <v>0</v>
      </c>
      <c r="J32" s="10">
        <v>0</v>
      </c>
      <c r="K32" s="6" t="s">
        <v>15</v>
      </c>
      <c r="L32" s="10">
        <v>1</v>
      </c>
    </row>
    <row r="33" spans="1:12" ht="15.75" customHeight="1">
      <c r="A33" s="3" t="s">
        <v>48</v>
      </c>
      <c r="B33" s="4">
        <v>3</v>
      </c>
      <c r="C33" s="5"/>
      <c r="D33" s="5">
        <f>SUM(D34:D37)</f>
        <v>20</v>
      </c>
      <c r="E33" s="5">
        <f t="shared" ref="E33:K33" si="6">SUM(E34:E37)</f>
        <v>6</v>
      </c>
      <c r="F33" s="5">
        <f t="shared" si="6"/>
        <v>5</v>
      </c>
      <c r="G33" s="5">
        <f t="shared" si="6"/>
        <v>4</v>
      </c>
      <c r="H33" s="5">
        <f t="shared" si="6"/>
        <v>3</v>
      </c>
      <c r="I33" s="5">
        <f t="shared" si="6"/>
        <v>2</v>
      </c>
      <c r="J33" s="5">
        <f t="shared" si="6"/>
        <v>0</v>
      </c>
      <c r="K33" s="6" t="s">
        <v>15</v>
      </c>
      <c r="L33" s="5"/>
    </row>
    <row r="34" spans="1:12" ht="15.75" customHeight="1">
      <c r="A34" s="19" t="s">
        <v>49</v>
      </c>
      <c r="B34" s="8"/>
      <c r="C34" s="9" t="s">
        <v>18</v>
      </c>
      <c r="D34" s="10">
        <v>8</v>
      </c>
      <c r="E34" s="10">
        <v>3</v>
      </c>
      <c r="F34" s="10">
        <v>3</v>
      </c>
      <c r="G34" s="10">
        <v>2</v>
      </c>
      <c r="H34" s="10">
        <v>0</v>
      </c>
      <c r="I34" s="10">
        <v>2</v>
      </c>
      <c r="J34" s="10">
        <v>0</v>
      </c>
      <c r="K34" s="6" t="s">
        <v>15</v>
      </c>
      <c r="L34" s="10">
        <v>1</v>
      </c>
    </row>
    <row r="35" spans="1:12" ht="15.75" customHeight="1">
      <c r="A35" s="19" t="s">
        <v>50</v>
      </c>
      <c r="B35" s="8"/>
      <c r="C35" s="9" t="s">
        <v>16</v>
      </c>
      <c r="D35" s="10">
        <v>5</v>
      </c>
      <c r="E35" s="10">
        <v>1</v>
      </c>
      <c r="F35" s="10">
        <v>2</v>
      </c>
      <c r="G35" s="10">
        <v>1</v>
      </c>
      <c r="H35" s="10">
        <v>1</v>
      </c>
      <c r="I35" s="10">
        <v>0</v>
      </c>
      <c r="J35" s="10">
        <v>0</v>
      </c>
      <c r="K35" s="6" t="s">
        <v>15</v>
      </c>
      <c r="L35" s="10">
        <v>0</v>
      </c>
    </row>
    <row r="36" spans="1:12" ht="15.75" customHeight="1">
      <c r="A36" s="19" t="s">
        <v>51</v>
      </c>
      <c r="B36" s="8"/>
      <c r="C36" s="9" t="s">
        <v>17</v>
      </c>
      <c r="D36" s="10">
        <v>3</v>
      </c>
      <c r="E36" s="10">
        <v>1</v>
      </c>
      <c r="F36" s="10">
        <v>0</v>
      </c>
      <c r="G36" s="10">
        <v>1</v>
      </c>
      <c r="H36" s="10">
        <v>1</v>
      </c>
      <c r="I36" s="10">
        <v>0</v>
      </c>
      <c r="J36" s="10">
        <v>0</v>
      </c>
      <c r="K36" s="6" t="s">
        <v>15</v>
      </c>
      <c r="L36" s="10">
        <v>3</v>
      </c>
    </row>
    <row r="37" spans="1:12" ht="15.75" customHeight="1">
      <c r="A37" s="19" t="s">
        <v>52</v>
      </c>
      <c r="B37" s="8"/>
      <c r="C37" s="9" t="s">
        <v>18</v>
      </c>
      <c r="D37" s="10">
        <v>4</v>
      </c>
      <c r="E37" s="10">
        <v>1</v>
      </c>
      <c r="F37" s="10">
        <v>0</v>
      </c>
      <c r="G37" s="10">
        <v>0</v>
      </c>
      <c r="H37" s="10">
        <v>1</v>
      </c>
      <c r="I37" s="10">
        <v>0</v>
      </c>
      <c r="J37" s="10">
        <v>0</v>
      </c>
      <c r="K37" s="6" t="s">
        <v>15</v>
      </c>
      <c r="L37" s="10">
        <v>1</v>
      </c>
    </row>
    <row r="38" spans="1:12" ht="15.75" customHeight="1">
      <c r="A38" s="3" t="s">
        <v>53</v>
      </c>
      <c r="B38" s="4">
        <v>3</v>
      </c>
      <c r="C38" s="5"/>
      <c r="D38" s="5">
        <f>SUM(D39:D42)</f>
        <v>24</v>
      </c>
      <c r="E38" s="5">
        <f t="shared" ref="E38:K38" si="7">SUM(E39:E42)</f>
        <v>9</v>
      </c>
      <c r="F38" s="5">
        <f t="shared" si="7"/>
        <v>6</v>
      </c>
      <c r="G38" s="5">
        <f t="shared" si="7"/>
        <v>6</v>
      </c>
      <c r="H38" s="5">
        <f t="shared" si="7"/>
        <v>3</v>
      </c>
      <c r="I38" s="5">
        <f t="shared" si="7"/>
        <v>2</v>
      </c>
      <c r="J38" s="5">
        <f t="shared" si="7"/>
        <v>0</v>
      </c>
      <c r="K38" s="6" t="s">
        <v>15</v>
      </c>
      <c r="L38" s="5"/>
    </row>
    <row r="39" spans="1:12" ht="15.75" customHeight="1">
      <c r="A39" s="19" t="s">
        <v>54</v>
      </c>
      <c r="B39" s="8"/>
      <c r="C39" s="9" t="s">
        <v>18</v>
      </c>
      <c r="D39" s="10">
        <v>6</v>
      </c>
      <c r="E39" s="10">
        <v>2</v>
      </c>
      <c r="F39" s="10">
        <v>2</v>
      </c>
      <c r="G39" s="10">
        <v>2</v>
      </c>
      <c r="H39" s="10">
        <v>0</v>
      </c>
      <c r="I39" s="10">
        <v>2</v>
      </c>
      <c r="J39" s="10">
        <v>0</v>
      </c>
      <c r="K39" s="6" t="s">
        <v>15</v>
      </c>
      <c r="L39" s="10">
        <v>1</v>
      </c>
    </row>
    <row r="40" spans="1:12" ht="15.75" customHeight="1">
      <c r="A40" s="19" t="s">
        <v>55</v>
      </c>
      <c r="B40" s="8"/>
      <c r="C40" s="9" t="s">
        <v>16</v>
      </c>
      <c r="D40" s="10">
        <v>7</v>
      </c>
      <c r="E40" s="10">
        <v>2</v>
      </c>
      <c r="F40" s="10">
        <v>2</v>
      </c>
      <c r="G40" s="10">
        <v>2</v>
      </c>
      <c r="H40" s="10">
        <v>1</v>
      </c>
      <c r="I40" s="10">
        <v>0</v>
      </c>
      <c r="J40" s="10">
        <v>0</v>
      </c>
      <c r="K40" s="6" t="s">
        <v>15</v>
      </c>
      <c r="L40" s="10">
        <v>0</v>
      </c>
    </row>
    <row r="41" spans="1:12" ht="15.75" customHeight="1">
      <c r="A41" s="19" t="s">
        <v>56</v>
      </c>
      <c r="B41" s="8"/>
      <c r="C41" s="9" t="s">
        <v>17</v>
      </c>
      <c r="D41" s="10">
        <v>4</v>
      </c>
      <c r="E41" s="10">
        <v>1</v>
      </c>
      <c r="F41" s="10">
        <v>1</v>
      </c>
      <c r="G41" s="10">
        <v>1</v>
      </c>
      <c r="H41" s="10">
        <v>1</v>
      </c>
      <c r="I41" s="10">
        <v>0</v>
      </c>
      <c r="J41" s="10">
        <v>0</v>
      </c>
      <c r="K41" s="6" t="s">
        <v>15</v>
      </c>
      <c r="L41" s="10">
        <v>3</v>
      </c>
    </row>
    <row r="42" spans="1:12" ht="15.75" customHeight="1">
      <c r="A42" s="19" t="s">
        <v>57</v>
      </c>
      <c r="B42" s="8"/>
      <c r="C42" s="9" t="s">
        <v>18</v>
      </c>
      <c r="D42" s="10">
        <v>7</v>
      </c>
      <c r="E42" s="10">
        <v>4</v>
      </c>
      <c r="F42" s="10">
        <v>1</v>
      </c>
      <c r="G42" s="10">
        <v>1</v>
      </c>
      <c r="H42" s="10">
        <v>1</v>
      </c>
      <c r="I42" s="10">
        <v>0</v>
      </c>
      <c r="J42" s="10">
        <v>0</v>
      </c>
      <c r="K42" s="6" t="s">
        <v>15</v>
      </c>
      <c r="L42" s="10">
        <v>1</v>
      </c>
    </row>
    <row r="43" spans="1:12" ht="15.75" customHeight="1">
      <c r="A43" s="3" t="s">
        <v>58</v>
      </c>
      <c r="B43" s="4">
        <v>3</v>
      </c>
      <c r="C43" s="5"/>
      <c r="D43" s="5">
        <f>SUM(D44:D47)</f>
        <v>24</v>
      </c>
      <c r="E43" s="5">
        <f t="shared" ref="E43:K43" si="8">SUM(E44:E47)</f>
        <v>9</v>
      </c>
      <c r="F43" s="5">
        <f t="shared" si="8"/>
        <v>6</v>
      </c>
      <c r="G43" s="5">
        <f t="shared" si="8"/>
        <v>6</v>
      </c>
      <c r="H43" s="5">
        <f t="shared" si="8"/>
        <v>3</v>
      </c>
      <c r="I43" s="5">
        <f t="shared" si="8"/>
        <v>2</v>
      </c>
      <c r="J43" s="5">
        <f t="shared" si="8"/>
        <v>0</v>
      </c>
      <c r="K43" s="6" t="s">
        <v>15</v>
      </c>
      <c r="L43" s="5"/>
    </row>
    <row r="44" spans="1:12" ht="15.75" customHeight="1">
      <c r="A44" s="19" t="s">
        <v>59</v>
      </c>
      <c r="B44" s="8"/>
      <c r="C44" s="9" t="s">
        <v>18</v>
      </c>
      <c r="D44" s="10">
        <v>6</v>
      </c>
      <c r="E44" s="10">
        <v>2</v>
      </c>
      <c r="F44" s="10">
        <v>2</v>
      </c>
      <c r="G44" s="10">
        <v>2</v>
      </c>
      <c r="H44" s="10">
        <v>0</v>
      </c>
      <c r="I44" s="10">
        <v>2</v>
      </c>
      <c r="J44" s="10">
        <v>0</v>
      </c>
      <c r="K44" s="6" t="s">
        <v>15</v>
      </c>
      <c r="L44" s="10">
        <v>1</v>
      </c>
    </row>
    <row r="45" spans="1:12" ht="15.75" customHeight="1">
      <c r="A45" s="19" t="s">
        <v>60</v>
      </c>
      <c r="B45" s="8"/>
      <c r="C45" s="9" t="s">
        <v>16</v>
      </c>
      <c r="D45" s="10">
        <v>7</v>
      </c>
      <c r="E45" s="10">
        <v>2</v>
      </c>
      <c r="F45" s="10">
        <v>2</v>
      </c>
      <c r="G45" s="10">
        <v>2</v>
      </c>
      <c r="H45" s="10">
        <v>1</v>
      </c>
      <c r="I45" s="10">
        <v>0</v>
      </c>
      <c r="J45" s="10">
        <v>0</v>
      </c>
      <c r="K45" s="6" t="s">
        <v>15</v>
      </c>
      <c r="L45" s="10">
        <v>0</v>
      </c>
    </row>
    <row r="46" spans="1:12" ht="15.75" customHeight="1">
      <c r="A46" s="19" t="s">
        <v>62</v>
      </c>
      <c r="B46" s="8"/>
      <c r="C46" s="9" t="s">
        <v>17</v>
      </c>
      <c r="D46" s="10">
        <v>4</v>
      </c>
      <c r="E46" s="10">
        <v>1</v>
      </c>
      <c r="F46" s="10">
        <v>1</v>
      </c>
      <c r="G46" s="10">
        <v>1</v>
      </c>
      <c r="H46" s="10">
        <v>1</v>
      </c>
      <c r="I46" s="10">
        <v>0</v>
      </c>
      <c r="J46" s="10">
        <v>0</v>
      </c>
      <c r="K46" s="6" t="s">
        <v>15</v>
      </c>
      <c r="L46" s="10">
        <v>3</v>
      </c>
    </row>
    <row r="47" spans="1:12" ht="15.75" customHeight="1">
      <c r="A47" s="19" t="s">
        <v>61</v>
      </c>
      <c r="B47" s="8"/>
      <c r="C47" s="9" t="s">
        <v>18</v>
      </c>
      <c r="D47" s="10">
        <v>7</v>
      </c>
      <c r="E47" s="10">
        <v>4</v>
      </c>
      <c r="F47" s="10">
        <v>1</v>
      </c>
      <c r="G47" s="10">
        <v>1</v>
      </c>
      <c r="H47" s="10">
        <v>1</v>
      </c>
      <c r="I47" s="10">
        <v>0</v>
      </c>
      <c r="J47" s="10">
        <v>0</v>
      </c>
      <c r="K47" s="6" t="s">
        <v>15</v>
      </c>
      <c r="L47" s="10">
        <v>1</v>
      </c>
    </row>
  </sheetData>
  <mergeCells count="2">
    <mergeCell ref="A1:L1"/>
    <mergeCell ref="A2:L2"/>
  </mergeCells>
  <dataValidations count="1">
    <dataValidation type="list" allowBlank="1" showErrorMessage="1" sqref="K4:K26 K28:K47" xr:uid="{00000000-0002-0000-0000-000000000000}">
      <formula1>"To Do,Doing,Done"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21d6d3-938a-4215-b77b-ff1e1fc1f8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D7EA8F862874D9A86F67A8C1E2B36" ma:contentTypeVersion="6" ma:contentTypeDescription="Create a new document." ma:contentTypeScope="" ma:versionID="349738abefd8b9d02ff83f5c4c52740b">
  <xsd:schema xmlns:xsd="http://www.w3.org/2001/XMLSchema" xmlns:xs="http://www.w3.org/2001/XMLSchema" xmlns:p="http://schemas.microsoft.com/office/2006/metadata/properties" xmlns:ns3="1921d6d3-938a-4215-b77b-ff1e1fc1f8b5" targetNamespace="http://schemas.microsoft.com/office/2006/metadata/properties" ma:root="true" ma:fieldsID="15ce24b0c52eb995f80eff306926943c" ns3:_="">
    <xsd:import namespace="1921d6d3-938a-4215-b77b-ff1e1fc1f8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1d6d3-938a-4215-b77b-ff1e1fc1f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105CB0-1496-4BFE-8236-2B42C43A665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1921d6d3-938a-4215-b77b-ff1e1fc1f8b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0FFABF3-CAC4-494B-AA7A-ADFF821DD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E752-09F5-4B1C-AA4A-BAFDA8F37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1d6d3-938a-4215-b77b-ff1e1fc1f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Greco</dc:creator>
  <cp:lastModifiedBy>Nick Greco</cp:lastModifiedBy>
  <dcterms:created xsi:type="dcterms:W3CDTF">2025-12-02T18:36:18Z</dcterms:created>
  <dcterms:modified xsi:type="dcterms:W3CDTF">2025-12-03T00:40:41Z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0x01010028BD7EA8F862874D9A86F67A8C1E2B36</vt:lpwstr>
  </property>
</Properties>
</file>